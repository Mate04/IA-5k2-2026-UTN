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<sst xmlns="http://schemas.openxmlformats.org/spreadsheetml/2006/main" count="29" uniqueCount="27">
  <si>
    <t>ALPA</t>
  </si>
  <si>
    <t>0 SI Y &lt; 0</t>
  </si>
  <si>
    <t>1 SI Y&gt;= 1</t>
  </si>
  <si>
    <t>iteracion</t>
  </si>
  <si>
    <t>x0</t>
  </si>
  <si>
    <t>x1</t>
  </si>
  <si>
    <t>x2</t>
  </si>
  <si>
    <t>y' esperada</t>
  </si>
  <si>
    <t>w0</t>
  </si>
  <si>
    <t>w1</t>
  </si>
  <si>
    <t>w2</t>
  </si>
  <si>
    <t>Wi Xi</t>
  </si>
  <si>
    <t>Y = f(u)</t>
  </si>
  <si>
    <t>error</t>
  </si>
  <si>
    <t>Δw0</t>
  </si>
  <si>
    <t>Δw1</t>
  </si>
  <si>
    <t>Δw2</t>
  </si>
  <si>
    <t>W0 nuevo</t>
  </si>
  <si>
    <t>W1 nuevo</t>
  </si>
  <si>
    <t>W2 nuevo</t>
  </si>
  <si>
    <t>Hay error?</t>
  </si>
  <si>
    <t xml:space="preserve">Frontera </t>
  </si>
  <si>
    <t>-(w0+w1x1)/w2</t>
  </si>
  <si>
    <t>Pre entrenamiento</t>
  </si>
  <si>
    <t>SALIDA DEL CLASIFICADOR</t>
  </si>
  <si>
    <t>Y</t>
  </si>
  <si>
    <t>[0,1,1,1]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</si>
</sst>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rgb="FF1E1B4A"/>
      <name val="Arial"/>
    </font>
    <font>
      <b/>
      <color rgb="FFFFFFFF"/>
      <name val="Arial"/>
    </font>
    <font>
      <b/>
      <color theme="0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D1F9E4"/>
        <bgColor rgb="FFD1F9E4"/>
      </patternFill>
    </fill>
    <fill>
      <patternFill patternType="solid">
        <fgColor rgb="FFDFE7FF"/>
        <bgColor rgb="FFDFE7FF"/>
      </patternFill>
    </fill>
    <fill>
      <patternFill patternType="solid">
        <fgColor rgb="FF1E395F"/>
        <bgColor rgb="FF1E395F"/>
      </patternFill>
    </fill>
    <fill>
      <patternFill patternType="solid">
        <fgColor rgb="FFFFE3E6"/>
        <bgColor rgb="FFFFE3E6"/>
      </patternFill>
    </fill>
    <fill>
      <patternFill patternType="solid">
        <fgColor rgb="FFFDD6AA"/>
        <bgColor rgb="FFFDD6AA"/>
      </patternFill>
    </fill>
    <fill>
      <patternFill patternType="solid">
        <fgColor rgb="FFECE9FD"/>
        <bgColor rgb="FFECE9FD"/>
      </patternFill>
    </fill>
    <fill>
      <patternFill patternType="solid">
        <fgColor rgb="FFA7F3D0"/>
        <bgColor rgb="FFA7F3D0"/>
      </patternFill>
    </fill>
    <fill>
      <patternFill patternType="solid">
        <fgColor rgb="FFFDF3C6"/>
        <bgColor rgb="FFFDF3C6"/>
      </patternFill>
    </fill>
    <fill>
      <patternFill patternType="solid">
        <fgColor rgb="FFFDCDD2"/>
        <bgColor rgb="FFFDCDD2"/>
      </patternFill>
    </fill>
    <fill>
      <patternFill patternType="solid">
        <fgColor rgb="FFDFF1FD"/>
        <bgColor rgb="FFDFF1FD"/>
      </patternFill>
    </fill>
    <fill>
      <patternFill patternType="solid">
        <fgColor rgb="FFFDEF89"/>
        <bgColor rgb="FFFDEF89"/>
      </patternFill>
    </fill>
    <fill>
      <patternFill patternType="solid">
        <fgColor rgb="FF8E7CC3"/>
        <bgColor rgb="FF8E7CC3"/>
      </patternFill>
    </fill>
    <fill>
      <patternFill patternType="solid">
        <fgColor rgb="FFB6D7A8"/>
        <bgColor rgb="FFB6D7A8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bottom"/>
    </xf>
    <xf borderId="2" fillId="2" fontId="1" numFmtId="0" xfId="0" applyAlignment="1" applyBorder="1" applyFill="1" applyFont="1">
      <alignment horizontal="right" vertical="bottom"/>
    </xf>
    <xf borderId="3" fillId="2" fontId="1" numFmtId="0" xfId="0" applyAlignment="1" applyBorder="1" applyFill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4" fillId="2" fontId="1" numFmtId="0" xfId="0" applyAlignment="1" applyBorder="1" applyFill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5" fillId="2" fontId="1" numFmtId="0" xfId="0" applyAlignment="1" applyBorder="1" applyFill="1" applyFont="1">
      <alignment horizontal="right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ill="1" applyFont="1">
      <alignment horizontal="right" readingOrder="0" vertical="bottom"/>
    </xf>
    <xf borderId="6" fillId="2" fontId="1" numFmtId="0" xfId="0" applyAlignment="1" applyBorder="1" applyFill="1" applyFont="1">
      <alignment horizontal="right" vertical="bottom"/>
    </xf>
    <xf borderId="7" fillId="2" fontId="1" numFmtId="0" xfId="0" applyAlignment="1" applyBorder="1" applyFill="1" applyFont="1">
      <alignment horizontal="right" vertical="bottom"/>
    </xf>
    <xf borderId="8" fillId="2" fontId="1" numFmtId="0" xfId="0" applyAlignment="1" applyBorder="1" applyFill="1" applyFont="1">
      <alignment horizontal="right" vertical="bottom"/>
    </xf>
    <xf borderId="9" fillId="4" fontId="3" numFmtId="0" xfId="0" applyAlignment="1" applyBorder="1" applyFill="1" applyFont="1">
      <alignment vertical="bottom"/>
    </xf>
    <xf borderId="0" fillId="4" fontId="3" numFmtId="0" xfId="0" applyAlignment="1" applyFill="1" applyFont="1">
      <alignment vertical="bottom"/>
    </xf>
    <xf borderId="5" fillId="5" fontId="1" numFmtId="0" xfId="0" applyAlignment="1" applyBorder="1" applyFill="1" applyFont="1">
      <alignment horizontal="right" vertical="bottom"/>
    </xf>
    <xf borderId="10" fillId="0" fontId="1" numFmtId="0" xfId="0" applyAlignment="1" applyBorder="1" applyFont="1">
      <alignment horizontal="right" vertical="bottom"/>
    </xf>
    <xf borderId="10" fillId="6" fontId="1" numFmtId="0" xfId="0" applyAlignment="1" applyBorder="1" applyFill="1" applyFont="1">
      <alignment horizontal="right" vertical="bottom"/>
    </xf>
    <xf borderId="5" fillId="7" fontId="1" numFmtId="0" xfId="0" applyAlignment="1" applyBorder="1" applyFill="1" applyFont="1">
      <alignment horizontal="right" vertical="bottom"/>
    </xf>
    <xf borderId="10" fillId="8" fontId="1" numFmtId="0" xfId="0" applyAlignment="1" applyBorder="1" applyFill="1" applyFont="1">
      <alignment horizontal="right" vertical="bottom"/>
    </xf>
    <xf borderId="5" fillId="9" fontId="1" numFmtId="0" xfId="0" applyAlignment="1" applyBorder="1" applyFill="1" applyFont="1">
      <alignment horizontal="right" vertical="bottom"/>
    </xf>
    <xf borderId="10" fillId="10" fontId="1" numFmtId="0" xfId="0" applyAlignment="1" applyBorder="1" applyFill="1" applyFont="1">
      <alignment horizontal="right" vertical="bottom"/>
    </xf>
    <xf borderId="5" fillId="11" fontId="1" numFmtId="0" xfId="0" applyAlignment="1" applyBorder="1" applyFill="1" applyFont="1">
      <alignment horizontal="right" vertical="bottom"/>
    </xf>
    <xf borderId="10" fillId="12" fontId="1" numFmtId="0" xfId="0" applyAlignment="1" applyBorder="1" applyFill="1" applyFont="1">
      <alignment horizontal="right" vertical="bottom"/>
    </xf>
    <xf borderId="0" fillId="13" fontId="4" numFmtId="0" xfId="0" applyAlignment="1" applyFill="1" applyFont="1">
      <alignment readingOrder="0"/>
    </xf>
    <xf borderId="0" fillId="14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276225</xdr:colOff>
      <xdr:row>28</xdr:row>
      <xdr:rowOff>200025</xdr:rowOff>
    </xdr:from>
    <xdr:ext cx="6105525" cy="2867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2">
        <v>0.0</v>
      </c>
      <c r="C1" s="3">
        <v>0.0</v>
      </c>
      <c r="D1" s="4"/>
      <c r="E1" s="5">
        <v>0.0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>
      <c r="A2" s="6">
        <v>1.0</v>
      </c>
      <c r="B2" s="7">
        <v>0.0</v>
      </c>
      <c r="C2" s="8">
        <v>1.0</v>
      </c>
      <c r="D2" s="4"/>
      <c r="E2" s="5">
        <v>1.0</v>
      </c>
      <c r="F2" s="4"/>
      <c r="G2" s="9" t="s">
        <v>0</v>
      </c>
      <c r="H2" s="10">
        <v>0.5</v>
      </c>
      <c r="I2" s="4"/>
      <c r="J2" s="4" t="s">
        <v>1</v>
      </c>
      <c r="K2" s="4"/>
      <c r="L2" s="4"/>
      <c r="M2" s="4"/>
      <c r="N2" s="4"/>
      <c r="O2" s="4"/>
      <c r="P2" s="4"/>
      <c r="Q2" s="4"/>
      <c r="R2" s="4"/>
    </row>
    <row r="3">
      <c r="A3" s="6">
        <v>1.0</v>
      </c>
      <c r="B3" s="7">
        <v>1.0</v>
      </c>
      <c r="C3" s="8">
        <v>0.0</v>
      </c>
      <c r="D3" s="4"/>
      <c r="E3" s="5">
        <v>1.0</v>
      </c>
      <c r="F3" s="4"/>
      <c r="G3" s="4"/>
      <c r="H3" s="4"/>
      <c r="I3" s="4"/>
      <c r="J3" s="4" t="s">
        <v>2</v>
      </c>
      <c r="K3" s="4"/>
      <c r="L3" s="4"/>
      <c r="M3" s="4"/>
      <c r="N3" s="4"/>
      <c r="O3" s="4"/>
      <c r="P3" s="4"/>
      <c r="Q3" s="4"/>
      <c r="R3" s="4"/>
    </row>
    <row r="4">
      <c r="A4" s="11">
        <v>1.0</v>
      </c>
      <c r="B4" s="12">
        <v>1.0</v>
      </c>
      <c r="C4" s="13">
        <v>1.0</v>
      </c>
      <c r="D4" s="4"/>
      <c r="E4" s="5">
        <v>1.0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>
      <c r="A6" s="14" t="s">
        <v>3</v>
      </c>
      <c r="B6" s="14" t="s">
        <v>4</v>
      </c>
      <c r="C6" s="14" t="s">
        <v>5</v>
      </c>
      <c r="D6" s="14" t="s">
        <v>6</v>
      </c>
      <c r="E6" s="14" t="s">
        <v>7</v>
      </c>
      <c r="F6" s="14" t="s">
        <v>8</v>
      </c>
      <c r="G6" s="14" t="s">
        <v>9</v>
      </c>
      <c r="H6" s="14" t="s">
        <v>10</v>
      </c>
      <c r="I6" s="14" t="s">
        <v>11</v>
      </c>
      <c r="J6" s="14" t="s">
        <v>12</v>
      </c>
      <c r="K6" s="14" t="s">
        <v>13</v>
      </c>
      <c r="L6" s="14" t="s">
        <v>14</v>
      </c>
      <c r="M6" s="14" t="s">
        <v>15</v>
      </c>
      <c r="N6" s="14" t="s">
        <v>16</v>
      </c>
      <c r="O6" s="14" t="s">
        <v>17</v>
      </c>
      <c r="P6" s="14" t="s">
        <v>18</v>
      </c>
      <c r="Q6" s="14" t="s">
        <v>19</v>
      </c>
      <c r="R6" s="15" t="s">
        <v>20</v>
      </c>
    </row>
    <row r="7">
      <c r="A7" s="16">
        <v>1.0</v>
      </c>
      <c r="B7" s="17">
        <v>1.0</v>
      </c>
      <c r="C7" s="17">
        <v>0.0</v>
      </c>
      <c r="D7" s="17">
        <v>0.0</v>
      </c>
      <c r="E7" s="17">
        <v>0.0</v>
      </c>
      <c r="F7" s="17">
        <v>1.5</v>
      </c>
      <c r="G7" s="17">
        <v>0.5</v>
      </c>
      <c r="H7" s="17">
        <v>1.5</v>
      </c>
      <c r="I7" s="17">
        <f t="shared" ref="I7:I26" si="3">(B7*F7)+(C7*G7)+(D7*H7)</f>
        <v>1.5</v>
      </c>
      <c r="J7" s="17">
        <f t="shared" ref="J7:J26" si="4">IF(I7&gt;0,1,0)</f>
        <v>1</v>
      </c>
      <c r="K7" s="17">
        <f t="shared" ref="K7:K26" si="5">E7-J7</f>
        <v>-1</v>
      </c>
      <c r="L7" s="17">
        <f t="shared" ref="L7:L26" si="6">(1*B7*K7)</f>
        <v>-1</v>
      </c>
      <c r="M7" s="17">
        <f t="shared" ref="M7:M26" si="7">(1*C7*K7)</f>
        <v>0</v>
      </c>
      <c r="N7" s="17">
        <f t="shared" ref="N7:N26" si="8">(1*D7*K7)</f>
        <v>0</v>
      </c>
      <c r="O7" s="17">
        <f t="shared" ref="O7:Q7" si="1">F7+L7</f>
        <v>0.5</v>
      </c>
      <c r="P7" s="17">
        <f t="shared" si="1"/>
        <v>0.5</v>
      </c>
      <c r="Q7" s="17">
        <f t="shared" si="1"/>
        <v>1.5</v>
      </c>
      <c r="R7" s="4" t="str">
        <f t="shared" ref="R7:R26" si="10">IF(K7&lt;0,"SI","NO")</f>
        <v>SI</v>
      </c>
    </row>
    <row r="8">
      <c r="A8" s="16">
        <v>2.0</v>
      </c>
      <c r="B8" s="17">
        <v>1.0</v>
      </c>
      <c r="C8" s="17">
        <v>0.0</v>
      </c>
      <c r="D8" s="17">
        <v>1.0</v>
      </c>
      <c r="E8" s="17">
        <v>1.0</v>
      </c>
      <c r="F8" s="17">
        <f t="shared" ref="F8:H8" si="2">O7</f>
        <v>0.5</v>
      </c>
      <c r="G8" s="17">
        <f t="shared" si="2"/>
        <v>0.5</v>
      </c>
      <c r="H8" s="17">
        <f t="shared" si="2"/>
        <v>1.5</v>
      </c>
      <c r="I8" s="17">
        <f t="shared" si="3"/>
        <v>2</v>
      </c>
      <c r="J8" s="17">
        <f t="shared" si="4"/>
        <v>1</v>
      </c>
      <c r="K8" s="17">
        <f t="shared" si="5"/>
        <v>0</v>
      </c>
      <c r="L8" s="17">
        <f t="shared" si="6"/>
        <v>0</v>
      </c>
      <c r="M8" s="17">
        <f t="shared" si="7"/>
        <v>0</v>
      </c>
      <c r="N8" s="17">
        <f t="shared" si="8"/>
        <v>0</v>
      </c>
      <c r="O8" s="17">
        <f t="shared" ref="O8:Q8" si="9">F8+L8</f>
        <v>0.5</v>
      </c>
      <c r="P8" s="17">
        <f t="shared" si="9"/>
        <v>0.5</v>
      </c>
      <c r="Q8" s="17">
        <f t="shared" si="9"/>
        <v>1.5</v>
      </c>
      <c r="R8" s="4" t="str">
        <f t="shared" si="10"/>
        <v>NO</v>
      </c>
    </row>
    <row r="9">
      <c r="A9" s="16">
        <v>3.0</v>
      </c>
      <c r="B9" s="17">
        <v>1.0</v>
      </c>
      <c r="C9" s="17">
        <v>1.0</v>
      </c>
      <c r="D9" s="17">
        <v>0.0</v>
      </c>
      <c r="E9" s="17">
        <v>1.0</v>
      </c>
      <c r="F9" s="17">
        <f t="shared" ref="F9:H9" si="11">O8</f>
        <v>0.5</v>
      </c>
      <c r="G9" s="17">
        <f t="shared" si="11"/>
        <v>0.5</v>
      </c>
      <c r="H9" s="17">
        <f t="shared" si="11"/>
        <v>1.5</v>
      </c>
      <c r="I9" s="17">
        <f t="shared" si="3"/>
        <v>1</v>
      </c>
      <c r="J9" s="17">
        <f t="shared" si="4"/>
        <v>1</v>
      </c>
      <c r="K9" s="17">
        <f t="shared" si="5"/>
        <v>0</v>
      </c>
      <c r="L9" s="17">
        <f t="shared" si="6"/>
        <v>0</v>
      </c>
      <c r="M9" s="17">
        <f t="shared" si="7"/>
        <v>0</v>
      </c>
      <c r="N9" s="17">
        <f t="shared" si="8"/>
        <v>0</v>
      </c>
      <c r="O9" s="17">
        <f t="shared" ref="O9:Q9" si="12">F9+L9</f>
        <v>0.5</v>
      </c>
      <c r="P9" s="17">
        <f t="shared" si="12"/>
        <v>0.5</v>
      </c>
      <c r="Q9" s="17">
        <f t="shared" si="12"/>
        <v>1.5</v>
      </c>
      <c r="R9" s="4" t="str">
        <f t="shared" si="10"/>
        <v>NO</v>
      </c>
    </row>
    <row r="10">
      <c r="A10" s="16">
        <v>4.0</v>
      </c>
      <c r="B10" s="17">
        <v>1.0</v>
      </c>
      <c r="C10" s="17">
        <v>1.0</v>
      </c>
      <c r="D10" s="17">
        <v>1.0</v>
      </c>
      <c r="E10" s="17">
        <v>1.0</v>
      </c>
      <c r="F10" s="18">
        <f t="shared" ref="F10:H10" si="13">O9</f>
        <v>0.5</v>
      </c>
      <c r="G10" s="18">
        <f t="shared" si="13"/>
        <v>0.5</v>
      </c>
      <c r="H10" s="18">
        <f t="shared" si="13"/>
        <v>1.5</v>
      </c>
      <c r="I10" s="17">
        <f t="shared" si="3"/>
        <v>2.5</v>
      </c>
      <c r="J10" s="17">
        <f t="shared" si="4"/>
        <v>1</v>
      </c>
      <c r="K10" s="17">
        <f t="shared" si="5"/>
        <v>0</v>
      </c>
      <c r="L10" s="17">
        <f t="shared" si="6"/>
        <v>0</v>
      </c>
      <c r="M10" s="17">
        <f t="shared" si="7"/>
        <v>0</v>
      </c>
      <c r="N10" s="17">
        <f t="shared" si="8"/>
        <v>0</v>
      </c>
      <c r="O10" s="17">
        <f t="shared" ref="O10:Q10" si="14">F10+L10</f>
        <v>0.5</v>
      </c>
      <c r="P10" s="17">
        <f t="shared" si="14"/>
        <v>0.5</v>
      </c>
      <c r="Q10" s="17">
        <f t="shared" si="14"/>
        <v>1.5</v>
      </c>
      <c r="R10" s="4" t="str">
        <f t="shared" si="10"/>
        <v>NO</v>
      </c>
    </row>
    <row r="11">
      <c r="A11" s="19">
        <v>5.0</v>
      </c>
      <c r="B11" s="17">
        <v>1.0</v>
      </c>
      <c r="C11" s="17">
        <v>0.0</v>
      </c>
      <c r="D11" s="17">
        <v>0.0</v>
      </c>
      <c r="E11" s="17">
        <v>0.0</v>
      </c>
      <c r="F11" s="17">
        <f t="shared" ref="F11:H11" si="15">O10</f>
        <v>0.5</v>
      </c>
      <c r="G11" s="17">
        <f t="shared" si="15"/>
        <v>0.5</v>
      </c>
      <c r="H11" s="17">
        <f t="shared" si="15"/>
        <v>1.5</v>
      </c>
      <c r="I11" s="17">
        <f t="shared" si="3"/>
        <v>0.5</v>
      </c>
      <c r="J11" s="17">
        <f t="shared" si="4"/>
        <v>1</v>
      </c>
      <c r="K11" s="17">
        <f t="shared" si="5"/>
        <v>-1</v>
      </c>
      <c r="L11" s="17">
        <f t="shared" si="6"/>
        <v>-1</v>
      </c>
      <c r="M11" s="17">
        <f t="shared" si="7"/>
        <v>0</v>
      </c>
      <c r="N11" s="17">
        <f t="shared" si="8"/>
        <v>0</v>
      </c>
      <c r="O11" s="17">
        <f t="shared" ref="O11:Q11" si="16">F11+L11</f>
        <v>-0.5</v>
      </c>
      <c r="P11" s="17">
        <f t="shared" si="16"/>
        <v>0.5</v>
      </c>
      <c r="Q11" s="17">
        <f t="shared" si="16"/>
        <v>1.5</v>
      </c>
      <c r="R11" s="4" t="str">
        <f t="shared" si="10"/>
        <v>SI</v>
      </c>
    </row>
    <row r="12">
      <c r="A12" s="19">
        <v>6.0</v>
      </c>
      <c r="B12" s="17">
        <v>1.0</v>
      </c>
      <c r="C12" s="17">
        <v>0.0</v>
      </c>
      <c r="D12" s="17">
        <v>1.0</v>
      </c>
      <c r="E12" s="17">
        <v>1.0</v>
      </c>
      <c r="F12" s="17">
        <f t="shared" ref="F12:H12" si="17">O11</f>
        <v>-0.5</v>
      </c>
      <c r="G12" s="17">
        <f t="shared" si="17"/>
        <v>0.5</v>
      </c>
      <c r="H12" s="17">
        <f t="shared" si="17"/>
        <v>1.5</v>
      </c>
      <c r="I12" s="17">
        <f t="shared" si="3"/>
        <v>1</v>
      </c>
      <c r="J12" s="17">
        <f t="shared" si="4"/>
        <v>1</v>
      </c>
      <c r="K12" s="17">
        <f t="shared" si="5"/>
        <v>0</v>
      </c>
      <c r="L12" s="17">
        <f t="shared" si="6"/>
        <v>0</v>
      </c>
      <c r="M12" s="17">
        <f t="shared" si="7"/>
        <v>0</v>
      </c>
      <c r="N12" s="17">
        <f t="shared" si="8"/>
        <v>0</v>
      </c>
      <c r="O12" s="17">
        <f t="shared" ref="O12:Q12" si="18">F12+L12</f>
        <v>-0.5</v>
      </c>
      <c r="P12" s="17">
        <f t="shared" si="18"/>
        <v>0.5</v>
      </c>
      <c r="Q12" s="17">
        <f t="shared" si="18"/>
        <v>1.5</v>
      </c>
      <c r="R12" s="4" t="str">
        <f t="shared" si="10"/>
        <v>NO</v>
      </c>
    </row>
    <row r="13">
      <c r="A13" s="19">
        <v>7.0</v>
      </c>
      <c r="B13" s="17">
        <v>1.0</v>
      </c>
      <c r="C13" s="17">
        <v>1.0</v>
      </c>
      <c r="D13" s="17">
        <v>0.0</v>
      </c>
      <c r="E13" s="17">
        <v>1.0</v>
      </c>
      <c r="F13" s="17">
        <f t="shared" ref="F13:H13" si="19">O12</f>
        <v>-0.5</v>
      </c>
      <c r="G13" s="17">
        <f t="shared" si="19"/>
        <v>0.5</v>
      </c>
      <c r="H13" s="17">
        <f t="shared" si="19"/>
        <v>1.5</v>
      </c>
      <c r="I13" s="17">
        <f t="shared" si="3"/>
        <v>0</v>
      </c>
      <c r="J13" s="17">
        <f t="shared" si="4"/>
        <v>0</v>
      </c>
      <c r="K13" s="17">
        <f t="shared" si="5"/>
        <v>1</v>
      </c>
      <c r="L13" s="17">
        <f t="shared" si="6"/>
        <v>1</v>
      </c>
      <c r="M13" s="17">
        <f t="shared" si="7"/>
        <v>1</v>
      </c>
      <c r="N13" s="17">
        <f t="shared" si="8"/>
        <v>0</v>
      </c>
      <c r="O13" s="17">
        <f t="shared" ref="O13:Q13" si="20">F13+L13</f>
        <v>0.5</v>
      </c>
      <c r="P13" s="17">
        <f t="shared" si="20"/>
        <v>1.5</v>
      </c>
      <c r="Q13" s="17">
        <f t="shared" si="20"/>
        <v>1.5</v>
      </c>
      <c r="R13" s="4" t="str">
        <f t="shared" si="10"/>
        <v>NO</v>
      </c>
    </row>
    <row r="14">
      <c r="A14" s="19">
        <v>8.0</v>
      </c>
      <c r="B14" s="17">
        <v>1.0</v>
      </c>
      <c r="C14" s="17">
        <v>1.0</v>
      </c>
      <c r="D14" s="17">
        <v>1.0</v>
      </c>
      <c r="E14" s="17">
        <v>1.0</v>
      </c>
      <c r="F14" s="20">
        <f t="shared" ref="F14:H14" si="21">O13</f>
        <v>0.5</v>
      </c>
      <c r="G14" s="20">
        <f t="shared" si="21"/>
        <v>1.5</v>
      </c>
      <c r="H14" s="20">
        <f t="shared" si="21"/>
        <v>1.5</v>
      </c>
      <c r="I14" s="17">
        <f t="shared" si="3"/>
        <v>3.5</v>
      </c>
      <c r="J14" s="17">
        <f t="shared" si="4"/>
        <v>1</v>
      </c>
      <c r="K14" s="17">
        <f t="shared" si="5"/>
        <v>0</v>
      </c>
      <c r="L14" s="17">
        <f t="shared" si="6"/>
        <v>0</v>
      </c>
      <c r="M14" s="17">
        <f t="shared" si="7"/>
        <v>0</v>
      </c>
      <c r="N14" s="17">
        <f t="shared" si="8"/>
        <v>0</v>
      </c>
      <c r="O14" s="17">
        <f t="shared" ref="O14:Q14" si="22">F14+L14</f>
        <v>0.5</v>
      </c>
      <c r="P14" s="17">
        <f t="shared" si="22"/>
        <v>1.5</v>
      </c>
      <c r="Q14" s="17">
        <f t="shared" si="22"/>
        <v>1.5</v>
      </c>
      <c r="R14" s="4" t="str">
        <f t="shared" si="10"/>
        <v>NO</v>
      </c>
    </row>
    <row r="15">
      <c r="A15" s="8">
        <v>9.0</v>
      </c>
      <c r="B15" s="17">
        <f t="shared" ref="B15:D15" si="23">B7</f>
        <v>1</v>
      </c>
      <c r="C15" s="17">
        <f t="shared" si="23"/>
        <v>0</v>
      </c>
      <c r="D15" s="17">
        <f t="shared" si="23"/>
        <v>0</v>
      </c>
      <c r="E15" s="17">
        <v>0.0</v>
      </c>
      <c r="F15" s="17">
        <f t="shared" ref="F15:H15" si="24">O14</f>
        <v>0.5</v>
      </c>
      <c r="G15" s="17">
        <f t="shared" si="24"/>
        <v>1.5</v>
      </c>
      <c r="H15" s="17">
        <f t="shared" si="24"/>
        <v>1.5</v>
      </c>
      <c r="I15" s="17">
        <f t="shared" si="3"/>
        <v>0.5</v>
      </c>
      <c r="J15" s="17">
        <f t="shared" si="4"/>
        <v>1</v>
      </c>
      <c r="K15" s="17">
        <f t="shared" si="5"/>
        <v>-1</v>
      </c>
      <c r="L15" s="17">
        <f t="shared" si="6"/>
        <v>-1</v>
      </c>
      <c r="M15" s="17">
        <f t="shared" si="7"/>
        <v>0</v>
      </c>
      <c r="N15" s="17">
        <f t="shared" si="8"/>
        <v>0</v>
      </c>
      <c r="O15" s="17">
        <f t="shared" ref="O15:Q15" si="25">F15+L15</f>
        <v>-0.5</v>
      </c>
      <c r="P15" s="17">
        <f t="shared" si="25"/>
        <v>1.5</v>
      </c>
      <c r="Q15" s="17">
        <f t="shared" si="25"/>
        <v>1.5</v>
      </c>
      <c r="R15" s="4" t="str">
        <f t="shared" si="10"/>
        <v>SI</v>
      </c>
    </row>
    <row r="16">
      <c r="A16" s="8">
        <v>10.0</v>
      </c>
      <c r="B16" s="17">
        <f t="shared" ref="B16:D16" si="26">B8</f>
        <v>1</v>
      </c>
      <c r="C16" s="17">
        <f t="shared" si="26"/>
        <v>0</v>
      </c>
      <c r="D16" s="17">
        <f t="shared" si="26"/>
        <v>1</v>
      </c>
      <c r="E16" s="17">
        <v>1.0</v>
      </c>
      <c r="F16" s="17">
        <f t="shared" ref="F16:H16" si="27">O15</f>
        <v>-0.5</v>
      </c>
      <c r="G16" s="17">
        <f t="shared" si="27"/>
        <v>1.5</v>
      </c>
      <c r="H16" s="17">
        <f t="shared" si="27"/>
        <v>1.5</v>
      </c>
      <c r="I16" s="17">
        <f t="shared" si="3"/>
        <v>1</v>
      </c>
      <c r="J16" s="17">
        <f t="shared" si="4"/>
        <v>1</v>
      </c>
      <c r="K16" s="17">
        <f t="shared" si="5"/>
        <v>0</v>
      </c>
      <c r="L16" s="17">
        <f t="shared" si="6"/>
        <v>0</v>
      </c>
      <c r="M16" s="17">
        <f t="shared" si="7"/>
        <v>0</v>
      </c>
      <c r="N16" s="17">
        <f t="shared" si="8"/>
        <v>0</v>
      </c>
      <c r="O16" s="17">
        <f t="shared" ref="O16:Q16" si="28">F16+L16</f>
        <v>-0.5</v>
      </c>
      <c r="P16" s="17">
        <f t="shared" si="28"/>
        <v>1.5</v>
      </c>
      <c r="Q16" s="17">
        <f t="shared" si="28"/>
        <v>1.5</v>
      </c>
      <c r="R16" s="4" t="str">
        <f t="shared" si="10"/>
        <v>NO</v>
      </c>
    </row>
    <row r="17">
      <c r="A17" s="8">
        <v>11.0</v>
      </c>
      <c r="B17" s="17">
        <f t="shared" ref="B17:D17" si="29">B9</f>
        <v>1</v>
      </c>
      <c r="C17" s="17">
        <f t="shared" si="29"/>
        <v>1</v>
      </c>
      <c r="D17" s="17">
        <f t="shared" si="29"/>
        <v>0</v>
      </c>
      <c r="E17" s="17">
        <v>1.0</v>
      </c>
      <c r="F17" s="17">
        <f t="shared" ref="F17:H17" si="30">O16</f>
        <v>-0.5</v>
      </c>
      <c r="G17" s="17">
        <f t="shared" si="30"/>
        <v>1.5</v>
      </c>
      <c r="H17" s="17">
        <f t="shared" si="30"/>
        <v>1.5</v>
      </c>
      <c r="I17" s="17">
        <f t="shared" si="3"/>
        <v>1</v>
      </c>
      <c r="J17" s="17">
        <f t="shared" si="4"/>
        <v>1</v>
      </c>
      <c r="K17" s="17">
        <f t="shared" si="5"/>
        <v>0</v>
      </c>
      <c r="L17" s="17">
        <f t="shared" si="6"/>
        <v>0</v>
      </c>
      <c r="M17" s="17">
        <f t="shared" si="7"/>
        <v>0</v>
      </c>
      <c r="N17" s="17">
        <f t="shared" si="8"/>
        <v>0</v>
      </c>
      <c r="O17" s="17">
        <f t="shared" ref="O17:Q17" si="31">F17+L17</f>
        <v>-0.5</v>
      </c>
      <c r="P17" s="17">
        <f t="shared" si="31"/>
        <v>1.5</v>
      </c>
      <c r="Q17" s="17">
        <f t="shared" si="31"/>
        <v>1.5</v>
      </c>
      <c r="R17" s="4" t="str">
        <f t="shared" si="10"/>
        <v>NO</v>
      </c>
    </row>
    <row r="18">
      <c r="A18" s="8">
        <v>12.0</v>
      </c>
      <c r="B18" s="17">
        <f t="shared" ref="B18:D18" si="32">B10</f>
        <v>1</v>
      </c>
      <c r="C18" s="17">
        <f t="shared" si="32"/>
        <v>1</v>
      </c>
      <c r="D18" s="17">
        <f t="shared" si="32"/>
        <v>1</v>
      </c>
      <c r="E18" s="17">
        <v>1.0</v>
      </c>
      <c r="F18" s="20">
        <f t="shared" ref="F18:H18" si="33">O17</f>
        <v>-0.5</v>
      </c>
      <c r="G18" s="20">
        <f t="shared" si="33"/>
        <v>1.5</v>
      </c>
      <c r="H18" s="20">
        <f t="shared" si="33"/>
        <v>1.5</v>
      </c>
      <c r="I18" s="17">
        <f t="shared" si="3"/>
        <v>2.5</v>
      </c>
      <c r="J18" s="17">
        <f t="shared" si="4"/>
        <v>1</v>
      </c>
      <c r="K18" s="17">
        <f t="shared" si="5"/>
        <v>0</v>
      </c>
      <c r="L18" s="17">
        <f t="shared" si="6"/>
        <v>0</v>
      </c>
      <c r="M18" s="17">
        <f t="shared" si="7"/>
        <v>0</v>
      </c>
      <c r="N18" s="17">
        <f t="shared" si="8"/>
        <v>0</v>
      </c>
      <c r="O18" s="17">
        <f t="shared" ref="O18:Q18" si="34">F18+L18</f>
        <v>-0.5</v>
      </c>
      <c r="P18" s="17">
        <f t="shared" si="34"/>
        <v>1.5</v>
      </c>
      <c r="Q18" s="17">
        <f t="shared" si="34"/>
        <v>1.5</v>
      </c>
      <c r="R18" s="4" t="str">
        <f t="shared" si="10"/>
        <v>NO</v>
      </c>
    </row>
    <row r="19">
      <c r="A19" s="21">
        <v>13.0</v>
      </c>
      <c r="B19" s="17">
        <f t="shared" ref="B19:D19" si="35">B11</f>
        <v>1</v>
      </c>
      <c r="C19" s="17">
        <f t="shared" si="35"/>
        <v>0</v>
      </c>
      <c r="D19" s="17">
        <f t="shared" si="35"/>
        <v>0</v>
      </c>
      <c r="E19" s="17">
        <f t="shared" ref="E19:E26" si="39">E7</f>
        <v>0</v>
      </c>
      <c r="F19" s="17">
        <f t="shared" ref="F19:H19" si="36">O18</f>
        <v>-0.5</v>
      </c>
      <c r="G19" s="17">
        <f t="shared" si="36"/>
        <v>1.5</v>
      </c>
      <c r="H19" s="17">
        <f t="shared" si="36"/>
        <v>1.5</v>
      </c>
      <c r="I19" s="17">
        <f t="shared" si="3"/>
        <v>-0.5</v>
      </c>
      <c r="J19" s="17">
        <f t="shared" si="4"/>
        <v>0</v>
      </c>
      <c r="K19" s="17">
        <f t="shared" si="5"/>
        <v>0</v>
      </c>
      <c r="L19" s="17">
        <f t="shared" si="6"/>
        <v>0</v>
      </c>
      <c r="M19" s="17">
        <f t="shared" si="7"/>
        <v>0</v>
      </c>
      <c r="N19" s="17">
        <f t="shared" si="8"/>
        <v>0</v>
      </c>
      <c r="O19" s="17">
        <f t="shared" ref="O19:Q19" si="37">F19+L19</f>
        <v>-0.5</v>
      </c>
      <c r="P19" s="17">
        <f t="shared" si="37"/>
        <v>1.5</v>
      </c>
      <c r="Q19" s="17">
        <f t="shared" si="37"/>
        <v>1.5</v>
      </c>
      <c r="R19" s="4" t="str">
        <f t="shared" si="10"/>
        <v>NO</v>
      </c>
    </row>
    <row r="20">
      <c r="A20" s="21">
        <v>14.0</v>
      </c>
      <c r="B20" s="17">
        <f t="shared" ref="B20:D20" si="38">B12</f>
        <v>1</v>
      </c>
      <c r="C20" s="17">
        <f t="shared" si="38"/>
        <v>0</v>
      </c>
      <c r="D20" s="17">
        <f t="shared" si="38"/>
        <v>1</v>
      </c>
      <c r="E20" s="17">
        <f t="shared" si="39"/>
        <v>1</v>
      </c>
      <c r="F20" s="17">
        <f t="shared" ref="F20:H20" si="40">O19</f>
        <v>-0.5</v>
      </c>
      <c r="G20" s="17">
        <f t="shared" si="40"/>
        <v>1.5</v>
      </c>
      <c r="H20" s="17">
        <f t="shared" si="40"/>
        <v>1.5</v>
      </c>
      <c r="I20" s="17">
        <f t="shared" si="3"/>
        <v>1</v>
      </c>
      <c r="J20" s="17">
        <f t="shared" si="4"/>
        <v>1</v>
      </c>
      <c r="K20" s="17">
        <f t="shared" si="5"/>
        <v>0</v>
      </c>
      <c r="L20" s="17">
        <f t="shared" si="6"/>
        <v>0</v>
      </c>
      <c r="M20" s="17">
        <f t="shared" si="7"/>
        <v>0</v>
      </c>
      <c r="N20" s="17">
        <f t="shared" si="8"/>
        <v>0</v>
      </c>
      <c r="O20" s="17">
        <f t="shared" ref="O20:Q20" si="41">F20+L20</f>
        <v>-0.5</v>
      </c>
      <c r="P20" s="17">
        <f t="shared" si="41"/>
        <v>1.5</v>
      </c>
      <c r="Q20" s="17">
        <f t="shared" si="41"/>
        <v>1.5</v>
      </c>
      <c r="R20" s="4" t="str">
        <f t="shared" si="10"/>
        <v>NO</v>
      </c>
    </row>
    <row r="21">
      <c r="A21" s="21">
        <v>15.0</v>
      </c>
      <c r="B21" s="17">
        <f t="shared" ref="B21:D21" si="42">B13</f>
        <v>1</v>
      </c>
      <c r="C21" s="17">
        <f t="shared" si="42"/>
        <v>1</v>
      </c>
      <c r="D21" s="17">
        <f t="shared" si="42"/>
        <v>0</v>
      </c>
      <c r="E21" s="17">
        <f t="shared" si="39"/>
        <v>1</v>
      </c>
      <c r="F21" s="17">
        <f t="shared" ref="F21:H21" si="43">O20</f>
        <v>-0.5</v>
      </c>
      <c r="G21" s="17">
        <f t="shared" si="43"/>
        <v>1.5</v>
      </c>
      <c r="H21" s="17">
        <f t="shared" si="43"/>
        <v>1.5</v>
      </c>
      <c r="I21" s="17">
        <f t="shared" si="3"/>
        <v>1</v>
      </c>
      <c r="J21" s="17">
        <f t="shared" si="4"/>
        <v>1</v>
      </c>
      <c r="K21" s="17">
        <f t="shared" si="5"/>
        <v>0</v>
      </c>
      <c r="L21" s="17">
        <f t="shared" si="6"/>
        <v>0</v>
      </c>
      <c r="M21" s="17">
        <f t="shared" si="7"/>
        <v>0</v>
      </c>
      <c r="N21" s="17">
        <f t="shared" si="8"/>
        <v>0</v>
      </c>
      <c r="O21" s="17">
        <f t="shared" ref="O21:Q21" si="44">F21+L21</f>
        <v>-0.5</v>
      </c>
      <c r="P21" s="17">
        <f t="shared" si="44"/>
        <v>1.5</v>
      </c>
      <c r="Q21" s="17">
        <f t="shared" si="44"/>
        <v>1.5</v>
      </c>
      <c r="R21" s="4" t="str">
        <f t="shared" si="10"/>
        <v>NO</v>
      </c>
    </row>
    <row r="22">
      <c r="A22" s="21">
        <v>16.0</v>
      </c>
      <c r="B22" s="17">
        <f t="shared" ref="B22:D22" si="45">B14</f>
        <v>1</v>
      </c>
      <c r="C22" s="17">
        <f t="shared" si="45"/>
        <v>1</v>
      </c>
      <c r="D22" s="17">
        <f t="shared" si="45"/>
        <v>1</v>
      </c>
      <c r="E22" s="17">
        <f t="shared" si="39"/>
        <v>1</v>
      </c>
      <c r="F22" s="22">
        <f t="shared" ref="F22:H22" si="46">O21</f>
        <v>-0.5</v>
      </c>
      <c r="G22" s="22">
        <f t="shared" si="46"/>
        <v>1.5</v>
      </c>
      <c r="H22" s="22">
        <f t="shared" si="46"/>
        <v>1.5</v>
      </c>
      <c r="I22" s="17">
        <f t="shared" si="3"/>
        <v>2.5</v>
      </c>
      <c r="J22" s="17">
        <f t="shared" si="4"/>
        <v>1</v>
      </c>
      <c r="K22" s="17">
        <f t="shared" si="5"/>
        <v>0</v>
      </c>
      <c r="L22" s="17">
        <f t="shared" si="6"/>
        <v>0</v>
      </c>
      <c r="M22" s="17">
        <f t="shared" si="7"/>
        <v>0</v>
      </c>
      <c r="N22" s="17">
        <f t="shared" si="8"/>
        <v>0</v>
      </c>
      <c r="O22" s="17">
        <f t="shared" ref="O22:Q22" si="47">F22+L22</f>
        <v>-0.5</v>
      </c>
      <c r="P22" s="17">
        <f t="shared" si="47"/>
        <v>1.5</v>
      </c>
      <c r="Q22" s="17">
        <f t="shared" si="47"/>
        <v>1.5</v>
      </c>
      <c r="R22" s="4" t="str">
        <f t="shared" si="10"/>
        <v>NO</v>
      </c>
    </row>
    <row r="23">
      <c r="A23" s="23">
        <v>17.0</v>
      </c>
      <c r="B23" s="17">
        <f t="shared" ref="B23:D23" si="48">B15</f>
        <v>1</v>
      </c>
      <c r="C23" s="17">
        <f t="shared" si="48"/>
        <v>0</v>
      </c>
      <c r="D23" s="17">
        <f t="shared" si="48"/>
        <v>0</v>
      </c>
      <c r="E23" s="17">
        <f t="shared" si="39"/>
        <v>0</v>
      </c>
      <c r="F23" s="17">
        <f t="shared" ref="F23:H23" si="49">O22</f>
        <v>-0.5</v>
      </c>
      <c r="G23" s="17">
        <f t="shared" si="49"/>
        <v>1.5</v>
      </c>
      <c r="H23" s="17">
        <f t="shared" si="49"/>
        <v>1.5</v>
      </c>
      <c r="I23" s="17">
        <f t="shared" si="3"/>
        <v>-0.5</v>
      </c>
      <c r="J23" s="20">
        <f t="shared" si="4"/>
        <v>0</v>
      </c>
      <c r="K23" s="17">
        <f t="shared" si="5"/>
        <v>0</v>
      </c>
      <c r="L23" s="17">
        <f t="shared" si="6"/>
        <v>0</v>
      </c>
      <c r="M23" s="17">
        <f t="shared" si="7"/>
        <v>0</v>
      </c>
      <c r="N23" s="17">
        <f t="shared" si="8"/>
        <v>0</v>
      </c>
      <c r="O23" s="17">
        <f t="shared" ref="O23:Q23" si="50">F23+L23</f>
        <v>-0.5</v>
      </c>
      <c r="P23" s="17">
        <f t="shared" si="50"/>
        <v>1.5</v>
      </c>
      <c r="Q23" s="17">
        <f t="shared" si="50"/>
        <v>1.5</v>
      </c>
      <c r="R23" s="4" t="str">
        <f t="shared" si="10"/>
        <v>NO</v>
      </c>
    </row>
    <row r="24">
      <c r="A24" s="23">
        <v>18.0</v>
      </c>
      <c r="B24" s="17">
        <f t="shared" ref="B24:D24" si="51">B16</f>
        <v>1</v>
      </c>
      <c r="C24" s="17">
        <f t="shared" si="51"/>
        <v>0</v>
      </c>
      <c r="D24" s="17">
        <f t="shared" si="51"/>
        <v>1</v>
      </c>
      <c r="E24" s="17">
        <f t="shared" si="39"/>
        <v>1</v>
      </c>
      <c r="F24" s="17">
        <f t="shared" ref="F24:H24" si="52">O23</f>
        <v>-0.5</v>
      </c>
      <c r="G24" s="17">
        <f t="shared" si="52"/>
        <v>1.5</v>
      </c>
      <c r="H24" s="17">
        <f t="shared" si="52"/>
        <v>1.5</v>
      </c>
      <c r="I24" s="17">
        <f t="shared" si="3"/>
        <v>1</v>
      </c>
      <c r="J24" s="20">
        <f t="shared" si="4"/>
        <v>1</v>
      </c>
      <c r="K24" s="17">
        <f t="shared" si="5"/>
        <v>0</v>
      </c>
      <c r="L24" s="17">
        <f t="shared" si="6"/>
        <v>0</v>
      </c>
      <c r="M24" s="17">
        <f t="shared" si="7"/>
        <v>0</v>
      </c>
      <c r="N24" s="17">
        <f t="shared" si="8"/>
        <v>0</v>
      </c>
      <c r="O24" s="17">
        <f t="shared" ref="O24:Q24" si="53">F24+L24</f>
        <v>-0.5</v>
      </c>
      <c r="P24" s="17">
        <f t="shared" si="53"/>
        <v>1.5</v>
      </c>
      <c r="Q24" s="17">
        <f t="shared" si="53"/>
        <v>1.5</v>
      </c>
      <c r="R24" s="4" t="str">
        <f t="shared" si="10"/>
        <v>NO</v>
      </c>
    </row>
    <row r="25">
      <c r="A25" s="23">
        <v>19.0</v>
      </c>
      <c r="B25" s="17">
        <f t="shared" ref="B25:D25" si="54">B17</f>
        <v>1</v>
      </c>
      <c r="C25" s="17">
        <f t="shared" si="54"/>
        <v>1</v>
      </c>
      <c r="D25" s="17">
        <f t="shared" si="54"/>
        <v>0</v>
      </c>
      <c r="E25" s="17">
        <f t="shared" si="39"/>
        <v>1</v>
      </c>
      <c r="F25" s="17">
        <f t="shared" ref="F25:H25" si="55">O24</f>
        <v>-0.5</v>
      </c>
      <c r="G25" s="17">
        <f t="shared" si="55"/>
        <v>1.5</v>
      </c>
      <c r="H25" s="17">
        <f t="shared" si="55"/>
        <v>1.5</v>
      </c>
      <c r="I25" s="17">
        <f t="shared" si="3"/>
        <v>1</v>
      </c>
      <c r="J25" s="20">
        <f t="shared" si="4"/>
        <v>1</v>
      </c>
      <c r="K25" s="17">
        <f t="shared" si="5"/>
        <v>0</v>
      </c>
      <c r="L25" s="17">
        <f t="shared" si="6"/>
        <v>0</v>
      </c>
      <c r="M25" s="17">
        <f t="shared" si="7"/>
        <v>0</v>
      </c>
      <c r="N25" s="17">
        <f t="shared" si="8"/>
        <v>0</v>
      </c>
      <c r="O25" s="17">
        <f t="shared" ref="O25:Q25" si="56">F25+L25</f>
        <v>-0.5</v>
      </c>
      <c r="P25" s="17">
        <f t="shared" si="56"/>
        <v>1.5</v>
      </c>
      <c r="Q25" s="17">
        <f t="shared" si="56"/>
        <v>1.5</v>
      </c>
      <c r="R25" s="4" t="str">
        <f t="shared" si="10"/>
        <v>NO</v>
      </c>
    </row>
    <row r="26">
      <c r="A26" s="23">
        <v>20.0</v>
      </c>
      <c r="B26" s="17">
        <f t="shared" ref="B26:D26" si="57">B18</f>
        <v>1</v>
      </c>
      <c r="C26" s="17">
        <f t="shared" si="57"/>
        <v>1</v>
      </c>
      <c r="D26" s="17">
        <f t="shared" si="57"/>
        <v>1</v>
      </c>
      <c r="E26" s="17">
        <f t="shared" si="39"/>
        <v>1</v>
      </c>
      <c r="F26" s="24">
        <f t="shared" ref="F26:H26" si="58">O25</f>
        <v>-0.5</v>
      </c>
      <c r="G26" s="24">
        <f t="shared" si="58"/>
        <v>1.5</v>
      </c>
      <c r="H26" s="24">
        <f t="shared" si="58"/>
        <v>1.5</v>
      </c>
      <c r="I26" s="17">
        <f t="shared" si="3"/>
        <v>2.5</v>
      </c>
      <c r="J26" s="20">
        <f t="shared" si="4"/>
        <v>1</v>
      </c>
      <c r="K26" s="17">
        <f t="shared" si="5"/>
        <v>0</v>
      </c>
      <c r="L26" s="17">
        <f t="shared" si="6"/>
        <v>0</v>
      </c>
      <c r="M26" s="17">
        <f t="shared" si="7"/>
        <v>0</v>
      </c>
      <c r="N26" s="17">
        <f t="shared" si="8"/>
        <v>0</v>
      </c>
      <c r="O26" s="17">
        <f t="shared" ref="O26:Q26" si="59">F26+L26</f>
        <v>-0.5</v>
      </c>
      <c r="P26" s="17">
        <f t="shared" si="59"/>
        <v>1.5</v>
      </c>
      <c r="Q26" s="17">
        <f t="shared" si="59"/>
        <v>1.5</v>
      </c>
      <c r="R26" s="4" t="str">
        <f t="shared" si="10"/>
        <v>NO</v>
      </c>
    </row>
    <row r="28">
      <c r="A28" s="4" t="s">
        <v>21</v>
      </c>
      <c r="B28" s="4" t="s">
        <v>22</v>
      </c>
    </row>
    <row r="29">
      <c r="A29" s="4" t="s">
        <v>6</v>
      </c>
      <c r="B29" s="5">
        <f>-(F12)/H12</f>
        <v>0.3333333333</v>
      </c>
      <c r="E29" s="25" t="s">
        <v>23</v>
      </c>
    </row>
    <row r="30">
      <c r="A30" s="4" t="s">
        <v>5</v>
      </c>
      <c r="B30" s="5">
        <f>-(G12/H12)</f>
        <v>-0.3333333333</v>
      </c>
    </row>
    <row r="31">
      <c r="A31" s="4"/>
      <c r="B31" s="4"/>
    </row>
    <row r="32">
      <c r="A32" s="26" t="s">
        <v>24</v>
      </c>
      <c r="B32" s="26"/>
    </row>
    <row r="33">
      <c r="A33" s="4" t="s">
        <v>25</v>
      </c>
      <c r="B33" s="4" t="s">
        <v>26</v>
      </c>
    </row>
  </sheetData>
  <mergeCells count="1">
    <mergeCell ref="E29:F29"/>
  </mergeCells>
  <drawing r:id="rId1"/>
</worksheet>
</file>